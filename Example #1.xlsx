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disney/Desktop/Siting Project/"/>
    </mc:Choice>
  </mc:AlternateContent>
  <xr:revisionPtr revIDLastSave="0" documentId="13_ncr:1_{C01D8D7D-29C4-5E4A-8E42-9F32F775F89E}" xr6:coauthVersionLast="47" xr6:coauthVersionMax="47" xr10:uidLastSave="{00000000-0000-0000-0000-000000000000}"/>
  <bookViews>
    <workbookView xWindow="-35460" yWindow="-5140" windowWidth="27300" windowHeight="16180" xr2:uid="{E6C86F2D-E575-BE43-B095-CEA321006E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3" i="1" l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sharedStrings.xml><?xml version="1.0" encoding="utf-8"?>
<sst xmlns="http://schemas.openxmlformats.org/spreadsheetml/2006/main" count="228" uniqueCount="96">
  <si>
    <t>Site ID</t>
  </si>
  <si>
    <t>Site Type</t>
  </si>
  <si>
    <t>Intersection</t>
  </si>
  <si>
    <t>Approved Alternate Corner</t>
  </si>
  <si>
    <t>Primary AADT</t>
  </si>
  <si>
    <t>AADT rating</t>
  </si>
  <si>
    <t>Alcohol Compliance</t>
  </si>
  <si>
    <t>AC Rating</t>
  </si>
  <si>
    <t>Downstream/Upstream</t>
  </si>
  <si>
    <t>Position Rating</t>
  </si>
  <si>
    <t>LH/RH Read</t>
  </si>
  <si>
    <t>Rating</t>
  </si>
  <si>
    <t>Corner/Mid-Block</t>
  </si>
  <si>
    <t>Traffic</t>
  </si>
  <si>
    <t>Traffic Rating</t>
  </si>
  <si>
    <t>Obstructions</t>
  </si>
  <si>
    <t>Obstruction Rating</t>
  </si>
  <si>
    <t>Pedestrian Rating</t>
  </si>
  <si>
    <t>Score</t>
  </si>
  <si>
    <t>Comments</t>
  </si>
  <si>
    <t>ATL-269</t>
  </si>
  <si>
    <t xml:space="preserve">Inventory </t>
  </si>
  <si>
    <t>Ellsworth Industrial Blvd NW</t>
  </si>
  <si>
    <t>Green</t>
  </si>
  <si>
    <t>N/A</t>
  </si>
  <si>
    <t>RH</t>
  </si>
  <si>
    <t>Mid-block</t>
  </si>
  <si>
    <t>2-way</t>
  </si>
  <si>
    <t>None</t>
  </si>
  <si>
    <t>Like pedestrian aspect/West Side Market</t>
  </si>
  <si>
    <t>ATL-273</t>
  </si>
  <si>
    <t>Inventory - SE</t>
  </si>
  <si>
    <t>W Paces Ferry Rd NW &amp; Horace E Tate Fwy (underserved)</t>
  </si>
  <si>
    <t>Upstream</t>
  </si>
  <si>
    <t>LH</t>
  </si>
  <si>
    <t>Corner</t>
  </si>
  <si>
    <t>ATL-275</t>
  </si>
  <si>
    <t>NO*</t>
  </si>
  <si>
    <t>Irby Ave NW &amp; Cains Hill Pl NW</t>
  </si>
  <si>
    <t>*Low AADT, weird look by ther loading area of Whole Foods and kind of maintenance looking street</t>
  </si>
  <si>
    <t>ATL-280</t>
  </si>
  <si>
    <t>Boulevard SE &amp; Custer Ave SE (underserved)</t>
  </si>
  <si>
    <t>Catty corner, Boulevard SE read</t>
  </si>
  <si>
    <t>Red</t>
  </si>
  <si>
    <t>Partial</t>
  </si>
  <si>
    <t>ATL-267</t>
  </si>
  <si>
    <t>Inventory</t>
  </si>
  <si>
    <t>Highland Ave NE &amp; Randolph</t>
  </si>
  <si>
    <t>ATL-268</t>
  </si>
  <si>
    <t xml:space="preserve">Peachtree St &amp; Ivan Allen Jr Blvd NE </t>
  </si>
  <si>
    <t>*Jibran does not want to prioritize more Downtown sites - have enough for 2026 goal of 143 market total</t>
  </si>
  <si>
    <t>ATL-272</t>
  </si>
  <si>
    <t>Pharr Rd NE &amp; Maple Dr NE</t>
  </si>
  <si>
    <t>Yellow</t>
  </si>
  <si>
    <t>ATL-274</t>
  </si>
  <si>
    <t>Peachtree St NE &amp; Pine St NE</t>
  </si>
  <si>
    <t>Downstread corner, Peachtree read</t>
  </si>
  <si>
    <t>ATL-284</t>
  </si>
  <si>
    <t>Boulevard NE &amp; E Ave NE</t>
  </si>
  <si>
    <t>Across Ave, Boulevard read</t>
  </si>
  <si>
    <t>ATL-265</t>
  </si>
  <si>
    <t>Preferred - SE</t>
  </si>
  <si>
    <t>Fulton St SW &amp; Windsor St (Underserved)</t>
  </si>
  <si>
    <t>Across Windsor, Fulton read</t>
  </si>
  <si>
    <t>ATL-270</t>
  </si>
  <si>
    <t>Fowler St NW &amp; Ferst Dr</t>
  </si>
  <si>
    <t>Any corner</t>
  </si>
  <si>
    <t>ATL-281</t>
  </si>
  <si>
    <t>Howell MI Rd &amp; Bellemeade Ave NW</t>
  </si>
  <si>
    <t>ATL-244</t>
  </si>
  <si>
    <t>ATLDOT - MLK Jr Dr SW &amp; Pryor St SW</t>
  </si>
  <si>
    <t>1-way</t>
  </si>
  <si>
    <t>ATL-283</t>
  </si>
  <si>
    <t>Boulevard NE &amp; Ralph McGill Blvd NE</t>
  </si>
  <si>
    <t>Across Boulevard, Boulevard read</t>
  </si>
  <si>
    <t>ATL-266</t>
  </si>
  <si>
    <t xml:space="preserve">Piedmont Ave NE &amp; Pine St NE </t>
  </si>
  <si>
    <t>ATL-276</t>
  </si>
  <si>
    <t>Hank Aaron Dr SW &amp; Georgia Ave SE (Georgia State Stadium) (Underserved)</t>
  </si>
  <si>
    <t>RH Hank Aaron Dr read</t>
  </si>
  <si>
    <t>*Jibran does not want to prioritize more Mechanicsburg sites - have enough for 2026 goal of 143 market total</t>
  </si>
  <si>
    <t>ATL-277</t>
  </si>
  <si>
    <t>Ted Turner Dr &amp; John Portman Blvd NW</t>
  </si>
  <si>
    <t>ATL-279</t>
  </si>
  <si>
    <t xml:space="preserve">Preferred  </t>
  </si>
  <si>
    <t>17th St NW &amp; State St NW</t>
  </si>
  <si>
    <t>Catty corner, 17th St read</t>
  </si>
  <si>
    <t>ATL-282</t>
  </si>
  <si>
    <t>Capitol Ave &amp; Fulton St NE (Underserved)</t>
  </si>
  <si>
    <t>Catty corner, Capitol Ave read</t>
  </si>
  <si>
    <t>ATL-278</t>
  </si>
  <si>
    <t xml:space="preserve">Inventory  </t>
  </si>
  <si>
    <t>Howell MI Rd &amp; Huff Rd</t>
  </si>
  <si>
    <t>Across Howell, Howell read (LH)</t>
  </si>
  <si>
    <t>ATL-271</t>
  </si>
  <si>
    <t>W Paces Ferry Rd NW &amp; Slaton Dr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</si>
</sst>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ProximaNova-Regular"/>
      <family val="2"/>
    </font>
    <font>
      <u/>
      <sz val="12"/>
      <color theme="10"/>
      <name val="ProximaNova-Regular"/>
      <family val="2"/>
    </font>
    <font>
      <b/>
      <u/>
      <sz val="13"/>
      <color theme="1"/>
      <name val="Proxima Nova Rg"/>
    </font>
    <font>
      <sz val="12"/>
      <color rgb="FF000000"/>
      <name val="ProximaNova-Regular"/>
      <family val="2"/>
    </font>
    <font>
      <sz val="12"/>
      <color theme="1"/>
      <name val="Proxima Nova Rg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0" xfId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 vertical="center"/>
    </xf>
    <xf numFmtId="0" fontId="0" fillId="0" borderId="5" xfId="0" applyBorder="1"/>
    <xf numFmtId="0" fontId="1" fillId="0" borderId="0" xfId="1" applyFill="1"/>
    <xf numFmtId="0" fontId="1" fillId="0" borderId="0" xfId="1" applyFill="1" applyBorder="1"/>
    <xf numFmtId="0" fontId="4" fillId="0" borderId="0" xfId="1" applyFont="1" applyFill="1"/>
    <xf numFmtId="0" fontId="0" fillId="2" borderId="1" xfId="0" applyFill="1" applyBorder="1"/>
    <xf numFmtId="0" fontId="0" fillId="2" borderId="0" xfId="0" applyFill="1"/>
    <xf numFmtId="0" fontId="0" fillId="2" borderId="4" xfId="0" applyFill="1" applyBorder="1"/>
    <xf numFmtId="0" fontId="1" fillId="2" borderId="0" xfId="1" applyFill="1"/>
    <xf numFmtId="3" fontId="0" fillId="2" borderId="0" xfId="0" applyNumberFormat="1" applyFill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4xYHYARQVwqp6VD66" TargetMode="External"/><Relationship Id="rId13" Type="http://schemas.openxmlformats.org/officeDocument/2006/relationships/hyperlink" Target="https://maps.app.goo.gl/Mz7QA7L3SvoVxv4Q9" TargetMode="External"/><Relationship Id="rId18" Type="http://schemas.openxmlformats.org/officeDocument/2006/relationships/hyperlink" Target="https://maps.app.goo.gl/9pJwKxsPVxSzHSjeA" TargetMode="External"/><Relationship Id="rId26" Type="http://schemas.openxmlformats.org/officeDocument/2006/relationships/hyperlink" Target="https://www.google.com/maps/@33.7636453,-84.3719363,3a,27.3y,326.7h,89.95t/data=!3m7!1e1!3m5!1sAH-IUGYVLdksEUvAruKVUQ!2e0!6shttps:%2F%2Fstreetviewpixels-pa.googleapis.com%2Fv1%2Fthumbnail%3Fcb_client%3Dmaps_sv.tactile%26w%3D900%26h%3D600%26pitch%3D0.050658085931615915%26panoid%3DAH-IUGYVLdksEUvAruKVUQ%26yaw%3D326.70036958816144!7i16384!8i8192?entry=ttu&amp;g_ep=EgoyMDI1MTIwMi4wIKXMDSoASAFQAw%3D%3D" TargetMode="External"/><Relationship Id="rId3" Type="http://schemas.openxmlformats.org/officeDocument/2006/relationships/hyperlink" Target="https://maps.app.goo.gl/AjkHTAsV7GJsnXm26" TargetMode="External"/><Relationship Id="rId21" Type="http://schemas.openxmlformats.org/officeDocument/2006/relationships/hyperlink" Target="https://www.google.com/maps/place/Red's+Beer+Garden/@33.7174267,-84.3685234,3a,75y,232.31h,92.96t/data=!3m7!1e1!3m5!1s_O7IWoutih1pOzLcOOw5vQ!2e0!6shttps:%2F%2Fstreetviewpixels-pa.googleapis.com%2Fv1%2Fthumbnail%3Fcb_client%3Dmaps_sv.tactile%26w%3D900%26h%3D600%26pitch%3D-2.9618769526295665%26panoid%3D_O7IWoutih1pOzLcOOw5vQ%26yaw%3D232.30614836241736!7i16384!8i8192!4m7!3m6!1s0x88f503b44c4b3d99:0x9006bec8ece82bf9!8m2!3d33.7184524!4d-84.3681286!10e5!16s%2Fg%2F11j0qzt19j?entry=ttu&amp;g_ep=EgoyMDI1MTIwMi4wIKXMDSoASAFQAw%3D%3D" TargetMode="External"/><Relationship Id="rId7" Type="http://schemas.openxmlformats.org/officeDocument/2006/relationships/hyperlink" Target="https://maps.app.goo.gl/cfwnFe681qtV6cPK7" TargetMode="External"/><Relationship Id="rId12" Type="http://schemas.openxmlformats.org/officeDocument/2006/relationships/hyperlink" Target="https://maps.app.goo.gl/F8KRzDJSgCBKY1Yf8" TargetMode="External"/><Relationship Id="rId17" Type="http://schemas.openxmlformats.org/officeDocument/2006/relationships/hyperlink" Target="https://maps.app.goo.gl/GYtUJMjdP8T5mk8q7" TargetMode="External"/><Relationship Id="rId25" Type="http://schemas.openxmlformats.org/officeDocument/2006/relationships/hyperlink" Target="https://www.google.com/maps/@33.7420065,-84.3982404,3a,32.4y,137.28h,87.19t/data=!3m7!1e1!3m5!1sFl0UG053OONhnKWiK2SyBg!2e0!6shttps:%2F%2Fstreetviewpixels-pa.googleapis.com%2Fv1%2Fthumbnail%3Fcb_client%3Dmaps_sv.tactile%26w%3D900%26h%3D600%26pitch%3D2.8127321150543168%26panoid%3DFl0UG053OONhnKWiK2SyBg%26yaw%3D137.2818457219025!7i16384!8i8192?entry=ttu&amp;g_ep=EgoyMDI1MTIwMi4wIKXMDSoASAFQAw%3D%3D" TargetMode="External"/><Relationship Id="rId2" Type="http://schemas.openxmlformats.org/officeDocument/2006/relationships/hyperlink" Target="https://maps.app.goo.gl/TqrGP2Pee9TPDn8K6" TargetMode="External"/><Relationship Id="rId16" Type="http://schemas.openxmlformats.org/officeDocument/2006/relationships/hyperlink" Target="https://maps.app.goo.gl/AMB4AX1GS2gaSRYW8" TargetMode="External"/><Relationship Id="rId20" Type="http://schemas.openxmlformats.org/officeDocument/2006/relationships/hyperlink" Target="https://www.google.com/maps/@33.7646921,-84.3878118,3a,90y,82.83h,85.78t/data=!3m7!1e1!3m5!1stfutrwVpo5OfYhUTzEykdQ!2e0!6shttps:%2F%2Fstreetviewpixels-pa.googleapis.com%2Fv1%2Fthumbnail%3Fcb_client%3Dmaps_sv.tactile%26w%3D900%26h%3D600%26pitch%3D4.222632556673176%26panoid%3DtfutrwVpo5OfYhUTzEykdQ%26yaw%3D82.83178780952093!7i16384!8i8192?entry=tts&amp;g_ep=EgoyMDI1MTExNy4wIPu8ASoASAFQAw%3D%3D&amp;skid=367f6569-73b4-40f4-8f31-eb36745ab46f" TargetMode="External"/><Relationship Id="rId29" Type="http://schemas.openxmlformats.org/officeDocument/2006/relationships/hyperlink" Target="https://www.google.com/maps/place/Atlanta+Olympic+Cauldron+Tower/@33.7415797,-84.3877825,3a,75y,53.44h,87.72t/data=!3m7!1e1!3m5!1sC4tHizqoRcV3FCkYWIAPPg!2e0!6shttps:%2F%2Fstreetviewpixels-pa.googleapis.com%2Fv1%2Fthumbnail%3Fcb_client%3Dmaps_sv.tactile%26w%3D900%26h%3D600%26pitch%3D2.2805635026592483%26panoid%3DC4tHizqoRcV3FCkYWIAPPg%26yaw%3D53.442450278605776!7i16384!8i8192!4m7!3m6!1s0x88f5039986c5612b:0xb027c160739cb910!8m2!3d33.7416546!4d-84.3880691!10e5!16s%2Fg%2F1trch7z0?entry=ttu&amp;g_ep=EgoyMDI1MTIwMi4wIKXMDSoASAFQAw%3D%3D" TargetMode="External"/><Relationship Id="rId1" Type="http://schemas.openxmlformats.org/officeDocument/2006/relationships/hyperlink" Target="https://maps.app.goo.gl/D3UAfB38cAX7c5qz9" TargetMode="External"/><Relationship Id="rId6" Type="http://schemas.openxmlformats.org/officeDocument/2006/relationships/hyperlink" Target="https://maps.app.goo.gl/na1Zk87jaygSM2yb8" TargetMode="External"/><Relationship Id="rId11" Type="http://schemas.openxmlformats.org/officeDocument/2006/relationships/hyperlink" Target="https://maps.app.goo.gl/n2TjgmmTrRUWa5mR6" TargetMode="External"/><Relationship Id="rId24" Type="http://schemas.openxmlformats.org/officeDocument/2006/relationships/hyperlink" Target="https://www.google.com/maps/@33.7630256,-84.3720542,3a,75y,317.27h,70.99t/data=!3m8!1e1!3m6!1sPV4UAHx5AYMhqT_1dcYPcQ!2e0!5s20220201T000000!6shttps:%2F%2Fstreetviewpixels-pa.googleapis.com%2Fv1%2Fthumbnail%3Fcb_client%3Dmaps_sv.tactile%26w%3D900%26h%3D600%26pitch%3D19.006762354446124%26panoid%3DPV4UAHx5AYMhqT_1dcYPcQ%26yaw%3D317.2707183029376!7i16384!8i8192?entry=ttu&amp;g_ep=EgoyMDI1MTIwMi4wIKXMDSoASAFQAw%3D%3D" TargetMode="External"/><Relationship Id="rId5" Type="http://schemas.openxmlformats.org/officeDocument/2006/relationships/hyperlink" Target="https://maps.app.goo.gl/RuNNH4sKAx5U3gCG8" TargetMode="External"/><Relationship Id="rId15" Type="http://schemas.openxmlformats.org/officeDocument/2006/relationships/hyperlink" Target="https://maps.app.goo.gl/nmApARaqFimSJuxy5" TargetMode="External"/><Relationship Id="rId23" Type="http://schemas.openxmlformats.org/officeDocument/2006/relationships/hyperlink" Target="https://www.google.com/maps/@33.7672999,-84.3854574,3a,38.5y,215.29h,86.4t/data=!3m7!1e1!3m5!1sDVrANqABQNPvqOqhfvaj6g!2e0!6shttps:%2F%2Fstreetviewpixels-pa.googleapis.com%2Fv1%2Fthumbnail%3Fcb_client%3Dmaps_sv.tactile%26w%3D900%26h%3D600%26pitch%3D3.603097706162842%26panoid%3DDVrANqABQNPvqOqhfvaj6g%26yaw%3D215.2876146647306!7i16384!8i8192?entry=ttu&amp;g_ep=EgoyMDI1MTIwMi4wIKXMDSoASAFQAw%3D%3D" TargetMode="External"/><Relationship Id="rId28" Type="http://schemas.openxmlformats.org/officeDocument/2006/relationships/hyperlink" Target="https://www.google.com/maps/@33.791169,-84.3990734,3a,39.4y,143.31h,88.3t/data=!3m7!1e1!3m5!1sJ-ARHMdeO6caRYiO90x_Rw!2e0!6shttps:%2F%2Fstreetviewpixels-pa.googleapis.com%2Fv1%2Fthumbnail%3Fcb_client%3Dmaps_sv.tactile%26w%3D900%26h%3D600%26pitch%3D1.6959693683243842%26panoid%3DJ-ARHMdeO6caRYiO90x_Rw%26yaw%3D143.30738913559014!7i16384!8i8192?entry=ttu&amp;g_ep=EgoyMDI1MTIwMi4wIKXMDSoASAFQAw%3D%3D" TargetMode="External"/><Relationship Id="rId10" Type="http://schemas.openxmlformats.org/officeDocument/2006/relationships/hyperlink" Target="https://maps.app.goo.gl/pBkW6p1GBtq1eCaQ7" TargetMode="External"/><Relationship Id="rId19" Type="http://schemas.openxmlformats.org/officeDocument/2006/relationships/hyperlink" Target="https://maps.app.goo.gl/PpXcePCSkbxF7aQE8" TargetMode="External"/><Relationship Id="rId4" Type="http://schemas.openxmlformats.org/officeDocument/2006/relationships/hyperlink" Target="https://maps.app.goo.gl/fnot2eWGx7cmrd228" TargetMode="External"/><Relationship Id="rId9" Type="http://schemas.openxmlformats.org/officeDocument/2006/relationships/hyperlink" Target="https://maps.app.goo.gl/pJD63qYAr6enDoU28" TargetMode="External"/><Relationship Id="rId14" Type="http://schemas.openxmlformats.org/officeDocument/2006/relationships/hyperlink" Target="https://maps.app.goo.gl/S2HQEwGhx6u6FtfM7" TargetMode="External"/><Relationship Id="rId22" Type="http://schemas.openxmlformats.org/officeDocument/2006/relationships/hyperlink" Target="https://www.google.com/maps/place/Red's+Beer+Garden/@33.7168953,-84.3685312,3a,75y,67.15h,80.04t/data=!3m7!1e1!3m5!1s5XcKSwEYwOUssZFI003IlQ!2e0!6shttps:%2F%2Fstreetviewpixels-pa.googleapis.com%2Fv1%2Fthumbnail%3Fcb_client%3Dmaps_sv.tactile%26w%3D900%26h%3D600%26pitch%3D9.960461709223168%26panoid%3D5XcKSwEYwOUssZFI003IlQ%26yaw%3D67.15315601073408!7i16384!8i8192!4m7!3m6!1s0x88f503b44c4b3d99:0x9006bec8ece82bf9!8m2!3d33.7184524!4d-84.3681286!10e5!16s%2Fg%2F11j0qzt19j?entry=ttu&amp;g_ep=EgoyMDI1MTIwMi4wIKXMDSoASAFQAw%3D%3D" TargetMode="External"/><Relationship Id="rId27" Type="http://schemas.openxmlformats.org/officeDocument/2006/relationships/hyperlink" Target="https://www.google.com/maps/@33.7365871,-84.3878938,3a,75y,39.98h,94.13t/data=!3m8!1e1!3m6!1sra3OdowOoEvm8WIS-kVg8Q!2e0!5s20250301T000000!6shttps:%2F%2Fstreetviewpixels-pa.googleapis.com%2Fv1%2Fthumbnail%3Fcb_client%3Dmaps_sv.tactile%26w%3D900%26h%3D600%26pitch%3D-4.126950136576326%26panoid%3Dra3OdowOoEvm8WIS-kVg8Q%26yaw%3D39.975590812027086!7i16384!8i8192?entry=ttu&amp;g_ep=EgoyMDI1MTIwMi4wIKXMDSoASAFQAw%3D%3D" TargetMode="External"/><Relationship Id="rId30" Type="http://schemas.openxmlformats.org/officeDocument/2006/relationships/hyperlink" Target="https://www.google.com/maps/@33.7877837,-84.4118449,3a,58.2y,199.3h,95.15t/data=!3m7!1e1!3m5!1sGJjloyFFnTxrN5Qlhoc3Rw!2e0!6shttps:%2F%2Fstreetviewpixels-pa.googleapis.com%2Fv1%2Fthumbnail%3Fcb_client%3Dmaps_sv.tactile%26w%3D900%26h%3D600%26pitch%3D-5.146346915647285%26panoid%3DGJjloyFFnTxrN5Qlhoc3Rw%26yaw%3D199.29655733700264!7i16384!8i8192?entry=ttu&amp;g_ep=EgoyMDI1MTIw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3EC6-3053-124E-A354-EABD8C803B65}">
  <dimension ref="A1:V23"/>
  <sheetViews>
    <sheetView tabSelected="1" workbookViewId="0">
      <selection activeCell="K9" sqref="K9"/>
    </sheetView>
  </sheetViews>
  <sheetFormatPr baseColWidth="10" defaultRowHeight="16"/>
  <cols>
    <col min="4" max="4" width="60.28515625" bestFit="1" customWidth="1"/>
    <col min="5" max="5" width="28.7109375" bestFit="1" customWidth="1"/>
    <col min="6" max="6" width="13" bestFit="1" customWidth="1"/>
    <col min="10" max="10" width="20.42578125" bestFit="1" customWidth="1"/>
    <col min="14" max="14" width="15.7109375" bestFit="1" customWidth="1"/>
    <col min="15" max="15" width="13.42578125" bestFit="1" customWidth="1"/>
    <col min="17" max="17" width="12.140625" bestFit="1" customWidth="1"/>
    <col min="18" max="18" width="11.7109375" bestFit="1" customWidth="1"/>
    <col min="19" max="19" width="16.85546875" bestFit="1" customWidth="1"/>
    <col min="20" max="20" width="15.85546875" bestFit="1" customWidth="1"/>
  </cols>
  <sheetData>
    <row r="1" spans="1:22">
      <c r="F1" s="1"/>
      <c r="G1" s="1"/>
    </row>
    <row r="2" spans="1:22" ht="2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9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</row>
    <row r="3" spans="1:22" ht="18" customHeight="1">
      <c r="A3" s="3">
        <v>6</v>
      </c>
      <c r="B3" t="s">
        <v>20</v>
      </c>
      <c r="C3" s="4" t="s">
        <v>21</v>
      </c>
      <c r="D3" s="5" t="s">
        <v>22</v>
      </c>
      <c r="F3" s="6">
        <v>9230</v>
      </c>
      <c r="G3" s="6">
        <v>2</v>
      </c>
      <c r="H3" s="7" t="s">
        <v>23</v>
      </c>
      <c r="I3" s="8">
        <v>3</v>
      </c>
      <c r="J3" s="1" t="s">
        <v>24</v>
      </c>
      <c r="K3" s="1">
        <v>1</v>
      </c>
      <c r="L3" s="1" t="s">
        <v>25</v>
      </c>
      <c r="M3" s="1">
        <v>2</v>
      </c>
      <c r="N3" s="1" t="s">
        <v>26</v>
      </c>
      <c r="O3" s="1">
        <v>1</v>
      </c>
      <c r="P3" s="1" t="s">
        <v>27</v>
      </c>
      <c r="Q3" s="1">
        <v>2</v>
      </c>
      <c r="R3" s="1" t="s">
        <v>28</v>
      </c>
      <c r="S3" s="1">
        <v>3</v>
      </c>
      <c r="T3" s="1">
        <v>2</v>
      </c>
      <c r="U3">
        <f t="shared" ref="U3:U23" si="0">(T3*2)+S3+Q3+O3+M3+(K3*2)+I3+(G3*2)</f>
        <v>21</v>
      </c>
      <c r="V3" t="s">
        <v>29</v>
      </c>
    </row>
    <row r="4" spans="1:22" ht="18" customHeight="1">
      <c r="A4">
        <v>10</v>
      </c>
      <c r="B4" s="9" t="s">
        <v>30</v>
      </c>
      <c r="C4" s="10" t="s">
        <v>31</v>
      </c>
      <c r="D4" s="5" t="s">
        <v>32</v>
      </c>
      <c r="E4" s="5"/>
      <c r="F4" s="6">
        <v>13538</v>
      </c>
      <c r="G4" s="6">
        <v>2</v>
      </c>
      <c r="H4" s="7" t="s">
        <v>23</v>
      </c>
      <c r="I4" s="11">
        <v>3</v>
      </c>
      <c r="J4" s="1" t="s">
        <v>33</v>
      </c>
      <c r="K4" s="1">
        <v>2</v>
      </c>
      <c r="L4" s="1" t="s">
        <v>34</v>
      </c>
      <c r="M4" s="1">
        <v>1</v>
      </c>
      <c r="N4" s="1" t="s">
        <v>35</v>
      </c>
      <c r="O4" s="1">
        <v>2</v>
      </c>
      <c r="P4" s="1" t="s">
        <v>27</v>
      </c>
      <c r="Q4" s="1">
        <v>2</v>
      </c>
      <c r="R4" s="1" t="s">
        <v>28</v>
      </c>
      <c r="S4" s="1">
        <v>3</v>
      </c>
      <c r="T4" s="1">
        <v>1</v>
      </c>
      <c r="U4">
        <f t="shared" si="0"/>
        <v>21</v>
      </c>
    </row>
    <row r="5" spans="1:22" ht="18" customHeight="1">
      <c r="A5" s="3">
        <v>12</v>
      </c>
      <c r="B5" s="12" t="s">
        <v>36</v>
      </c>
      <c r="C5" s="10" t="s">
        <v>37</v>
      </c>
      <c r="D5" s="5" t="s">
        <v>38</v>
      </c>
      <c r="E5" s="13"/>
      <c r="F5" s="6">
        <v>1662</v>
      </c>
      <c r="G5" s="6">
        <v>1</v>
      </c>
      <c r="H5" s="7" t="s">
        <v>23</v>
      </c>
      <c r="I5" s="11">
        <v>3</v>
      </c>
      <c r="J5" s="1" t="s">
        <v>33</v>
      </c>
      <c r="K5" s="1">
        <v>2</v>
      </c>
      <c r="L5" s="1" t="s">
        <v>34</v>
      </c>
      <c r="M5" s="1">
        <v>1</v>
      </c>
      <c r="N5" s="1" t="s">
        <v>35</v>
      </c>
      <c r="O5" s="1">
        <v>2</v>
      </c>
      <c r="P5" s="1" t="s">
        <v>27</v>
      </c>
      <c r="Q5" s="1">
        <v>2</v>
      </c>
      <c r="R5" s="1" t="s">
        <v>28</v>
      </c>
      <c r="S5" s="1">
        <v>3</v>
      </c>
      <c r="T5" s="1">
        <v>2</v>
      </c>
      <c r="U5">
        <f t="shared" si="0"/>
        <v>21</v>
      </c>
      <c r="V5" t="s">
        <v>39</v>
      </c>
    </row>
    <row r="6" spans="1:22" ht="18" customHeight="1">
      <c r="A6" s="3">
        <v>17</v>
      </c>
      <c r="B6" s="12" t="s">
        <v>40</v>
      </c>
      <c r="C6" s="10" t="s">
        <v>31</v>
      </c>
      <c r="D6" s="5" t="s">
        <v>41</v>
      </c>
      <c r="E6" s="14" t="s">
        <v>42</v>
      </c>
      <c r="F6" s="6">
        <v>18749</v>
      </c>
      <c r="G6" s="6">
        <v>3</v>
      </c>
      <c r="H6" s="7" t="s">
        <v>43</v>
      </c>
      <c r="I6" s="8">
        <v>1</v>
      </c>
      <c r="J6" s="1" t="s">
        <v>33</v>
      </c>
      <c r="K6" s="1">
        <v>2</v>
      </c>
      <c r="L6" s="1" t="s">
        <v>25</v>
      </c>
      <c r="M6" s="1">
        <v>2</v>
      </c>
      <c r="N6" s="1" t="s">
        <v>35</v>
      </c>
      <c r="O6" s="1">
        <v>2</v>
      </c>
      <c r="P6" s="1" t="s">
        <v>27</v>
      </c>
      <c r="Q6" s="1">
        <v>2</v>
      </c>
      <c r="R6" s="1" t="s">
        <v>44</v>
      </c>
      <c r="S6" s="1">
        <v>2</v>
      </c>
      <c r="T6" s="1">
        <v>1</v>
      </c>
      <c r="U6">
        <f t="shared" si="0"/>
        <v>21</v>
      </c>
    </row>
    <row r="7" spans="1:22" ht="18" customHeight="1">
      <c r="A7">
        <v>4</v>
      </c>
      <c r="B7" t="s">
        <v>45</v>
      </c>
      <c r="C7" s="10" t="s">
        <v>46</v>
      </c>
      <c r="D7" s="5" t="s">
        <v>47</v>
      </c>
      <c r="E7" s="13"/>
      <c r="F7" s="6">
        <v>8340</v>
      </c>
      <c r="G7" s="6">
        <v>1</v>
      </c>
      <c r="H7" s="7" t="s">
        <v>23</v>
      </c>
      <c r="I7" s="8">
        <v>3</v>
      </c>
      <c r="J7" s="1" t="s">
        <v>33</v>
      </c>
      <c r="K7" s="1">
        <v>2</v>
      </c>
      <c r="L7" s="1" t="s">
        <v>25</v>
      </c>
      <c r="M7" s="1">
        <v>2</v>
      </c>
      <c r="N7" s="1" t="s">
        <v>35</v>
      </c>
      <c r="O7" s="1">
        <v>2</v>
      </c>
      <c r="P7" s="1" t="s">
        <v>27</v>
      </c>
      <c r="Q7" s="1">
        <v>2</v>
      </c>
      <c r="R7" s="1" t="s">
        <v>28</v>
      </c>
      <c r="S7" s="1">
        <v>3</v>
      </c>
      <c r="T7" s="1">
        <v>2</v>
      </c>
      <c r="U7">
        <f t="shared" si="0"/>
        <v>22</v>
      </c>
    </row>
    <row r="8" spans="1:22" ht="18" customHeight="1">
      <c r="A8" s="3">
        <v>5</v>
      </c>
      <c r="B8" t="s">
        <v>48</v>
      </c>
      <c r="C8" s="10" t="s">
        <v>37</v>
      </c>
      <c r="D8" s="5" t="s">
        <v>49</v>
      </c>
      <c r="E8" s="5"/>
      <c r="F8" s="6">
        <v>1662</v>
      </c>
      <c r="G8" s="6">
        <v>2</v>
      </c>
      <c r="H8" s="7" t="s">
        <v>43</v>
      </c>
      <c r="I8" s="8">
        <v>1</v>
      </c>
      <c r="J8" s="1" t="s">
        <v>33</v>
      </c>
      <c r="K8" s="1">
        <v>2</v>
      </c>
      <c r="L8" s="1" t="s">
        <v>25</v>
      </c>
      <c r="M8" s="1">
        <v>2</v>
      </c>
      <c r="N8" s="1" t="s">
        <v>35</v>
      </c>
      <c r="O8" s="1">
        <v>2</v>
      </c>
      <c r="P8" s="1" t="s">
        <v>27</v>
      </c>
      <c r="Q8" s="1">
        <v>2</v>
      </c>
      <c r="R8" s="1" t="s">
        <v>28</v>
      </c>
      <c r="S8" s="1">
        <v>3</v>
      </c>
      <c r="T8" s="1">
        <v>2</v>
      </c>
      <c r="U8">
        <f t="shared" si="0"/>
        <v>22</v>
      </c>
      <c r="V8" t="s">
        <v>50</v>
      </c>
    </row>
    <row r="9" spans="1:22" ht="18" customHeight="1">
      <c r="A9" s="3">
        <v>9</v>
      </c>
      <c r="B9" t="s">
        <v>51</v>
      </c>
      <c r="C9" s="10" t="s">
        <v>46</v>
      </c>
      <c r="D9" s="5" t="s">
        <v>52</v>
      </c>
      <c r="E9" s="13"/>
      <c r="F9" s="6">
        <v>13200</v>
      </c>
      <c r="G9" s="6">
        <v>2</v>
      </c>
      <c r="H9" s="7" t="s">
        <v>53</v>
      </c>
      <c r="I9" s="8">
        <v>2</v>
      </c>
      <c r="J9" s="1" t="s">
        <v>33</v>
      </c>
      <c r="K9" s="1">
        <v>2</v>
      </c>
      <c r="L9" s="1" t="s">
        <v>34</v>
      </c>
      <c r="M9" s="1">
        <v>1</v>
      </c>
      <c r="N9" s="1" t="s">
        <v>35</v>
      </c>
      <c r="O9" s="1">
        <v>2</v>
      </c>
      <c r="P9" s="1" t="s">
        <v>27</v>
      </c>
      <c r="Q9" s="1">
        <v>2</v>
      </c>
      <c r="R9" s="1" t="s">
        <v>28</v>
      </c>
      <c r="S9" s="1">
        <v>3</v>
      </c>
      <c r="T9" s="1">
        <v>2</v>
      </c>
      <c r="U9">
        <f t="shared" si="0"/>
        <v>22</v>
      </c>
    </row>
    <row r="10" spans="1:22" ht="18" customHeight="1">
      <c r="A10">
        <v>11</v>
      </c>
      <c r="B10" t="s">
        <v>54</v>
      </c>
      <c r="C10" s="10" t="s">
        <v>37</v>
      </c>
      <c r="D10" s="5" t="s">
        <v>55</v>
      </c>
      <c r="E10" s="14" t="s">
        <v>56</v>
      </c>
      <c r="F10" s="6">
        <v>13538</v>
      </c>
      <c r="G10" s="6">
        <v>2</v>
      </c>
      <c r="H10" s="7" t="s">
        <v>43</v>
      </c>
      <c r="I10" s="8">
        <v>1</v>
      </c>
      <c r="J10" s="1" t="s">
        <v>33</v>
      </c>
      <c r="K10" s="1">
        <v>2</v>
      </c>
      <c r="L10" s="1" t="s">
        <v>25</v>
      </c>
      <c r="M10" s="1">
        <v>2</v>
      </c>
      <c r="N10" s="1" t="s">
        <v>35</v>
      </c>
      <c r="O10" s="1">
        <v>2</v>
      </c>
      <c r="P10" s="1" t="s">
        <v>27</v>
      </c>
      <c r="Q10" s="1">
        <v>2</v>
      </c>
      <c r="R10" s="1" t="s">
        <v>28</v>
      </c>
      <c r="S10" s="1">
        <v>3</v>
      </c>
      <c r="T10" s="1">
        <v>2</v>
      </c>
      <c r="U10">
        <f t="shared" si="0"/>
        <v>22</v>
      </c>
      <c r="V10" t="s">
        <v>50</v>
      </c>
    </row>
    <row r="11" spans="1:22" ht="18" customHeight="1">
      <c r="A11" s="3">
        <v>21</v>
      </c>
      <c r="B11" t="s">
        <v>57</v>
      </c>
      <c r="C11" s="10" t="s">
        <v>46</v>
      </c>
      <c r="D11" s="5" t="s">
        <v>58</v>
      </c>
      <c r="E11" s="13" t="s">
        <v>59</v>
      </c>
      <c r="F11" s="6">
        <v>19600</v>
      </c>
      <c r="G11" s="6">
        <v>3</v>
      </c>
      <c r="H11" s="7" t="s">
        <v>43</v>
      </c>
      <c r="I11" s="8">
        <v>1</v>
      </c>
      <c r="J11" s="1" t="s">
        <v>33</v>
      </c>
      <c r="K11" s="1">
        <v>2</v>
      </c>
      <c r="L11" s="1" t="s">
        <v>25</v>
      </c>
      <c r="M11" s="1">
        <v>2</v>
      </c>
      <c r="N11" s="1" t="s">
        <v>35</v>
      </c>
      <c r="O11" s="1">
        <v>2</v>
      </c>
      <c r="P11" s="1" t="s">
        <v>27</v>
      </c>
      <c r="Q11" s="1">
        <v>2</v>
      </c>
      <c r="R11" s="1" t="s">
        <v>28</v>
      </c>
      <c r="S11" s="1">
        <v>3</v>
      </c>
      <c r="T11" s="1">
        <v>1</v>
      </c>
      <c r="U11">
        <f t="shared" si="0"/>
        <v>22</v>
      </c>
    </row>
    <row r="12" spans="1:22" ht="18" customHeight="1">
      <c r="A12" s="3">
        <v>2</v>
      </c>
      <c r="B12" t="s">
        <v>60</v>
      </c>
      <c r="C12" s="10" t="s">
        <v>61</v>
      </c>
      <c r="D12" s="5" t="s">
        <v>62</v>
      </c>
      <c r="E12" s="14" t="s">
        <v>63</v>
      </c>
      <c r="F12" s="6">
        <v>13538</v>
      </c>
      <c r="G12" s="6">
        <v>3</v>
      </c>
      <c r="H12" s="7" t="s">
        <v>53</v>
      </c>
      <c r="I12" s="11">
        <v>2</v>
      </c>
      <c r="J12" s="1" t="s">
        <v>33</v>
      </c>
      <c r="K12" s="1">
        <v>2</v>
      </c>
      <c r="L12" s="1" t="s">
        <v>25</v>
      </c>
      <c r="M12" s="1">
        <v>2</v>
      </c>
      <c r="N12" s="1" t="s">
        <v>35</v>
      </c>
      <c r="O12" s="1">
        <v>2</v>
      </c>
      <c r="P12" s="1" t="s">
        <v>27</v>
      </c>
      <c r="Q12" s="1">
        <v>2</v>
      </c>
      <c r="R12" s="1" t="s">
        <v>28</v>
      </c>
      <c r="S12" s="1">
        <v>3</v>
      </c>
      <c r="T12" s="1">
        <v>1</v>
      </c>
      <c r="U12">
        <f t="shared" si="0"/>
        <v>23</v>
      </c>
    </row>
    <row r="13" spans="1:22" ht="18" customHeight="1">
      <c r="A13">
        <v>7</v>
      </c>
      <c r="B13" t="s">
        <v>64</v>
      </c>
      <c r="C13" s="10" t="s">
        <v>46</v>
      </c>
      <c r="D13" s="5" t="s">
        <v>65</v>
      </c>
      <c r="E13" s="15" t="s">
        <v>66</v>
      </c>
      <c r="F13" s="6">
        <v>1662</v>
      </c>
      <c r="G13" s="6">
        <v>1</v>
      </c>
      <c r="H13" s="7" t="s">
        <v>23</v>
      </c>
      <c r="I13" s="8">
        <v>3</v>
      </c>
      <c r="J13" s="1" t="s">
        <v>33</v>
      </c>
      <c r="K13" s="1">
        <v>2</v>
      </c>
      <c r="L13" s="1" t="s">
        <v>25</v>
      </c>
      <c r="M13" s="1">
        <v>2</v>
      </c>
      <c r="N13" s="1" t="s">
        <v>35</v>
      </c>
      <c r="O13" s="1">
        <v>2</v>
      </c>
      <c r="P13" s="1" t="s">
        <v>27</v>
      </c>
      <c r="Q13" s="1">
        <v>2</v>
      </c>
      <c r="R13" s="1" t="s">
        <v>44</v>
      </c>
      <c r="S13" s="1">
        <v>2</v>
      </c>
      <c r="T13" s="1">
        <v>3</v>
      </c>
      <c r="U13">
        <f t="shared" si="0"/>
        <v>23</v>
      </c>
    </row>
    <row r="14" spans="1:22" ht="18" customHeight="1">
      <c r="A14" s="3">
        <v>18</v>
      </c>
      <c r="B14" t="s">
        <v>67</v>
      </c>
      <c r="C14" s="10" t="s">
        <v>46</v>
      </c>
      <c r="D14" s="5" t="s">
        <v>68</v>
      </c>
      <c r="F14" s="6">
        <v>18749</v>
      </c>
      <c r="G14" s="6">
        <v>3</v>
      </c>
      <c r="H14" s="7" t="s">
        <v>23</v>
      </c>
      <c r="I14" s="11">
        <v>3</v>
      </c>
      <c r="J14" s="1" t="s">
        <v>33</v>
      </c>
      <c r="K14" s="1">
        <v>2</v>
      </c>
      <c r="L14" s="1" t="s">
        <v>34</v>
      </c>
      <c r="M14" s="1">
        <v>1</v>
      </c>
      <c r="N14" s="1" t="s">
        <v>35</v>
      </c>
      <c r="O14" s="1">
        <v>2</v>
      </c>
      <c r="P14" s="1" t="s">
        <v>27</v>
      </c>
      <c r="Q14" s="1">
        <v>2</v>
      </c>
      <c r="R14" s="1" t="s">
        <v>28</v>
      </c>
      <c r="S14" s="1">
        <v>3</v>
      </c>
      <c r="T14" s="1">
        <v>1</v>
      </c>
      <c r="U14">
        <f t="shared" si="0"/>
        <v>23</v>
      </c>
    </row>
    <row r="15" spans="1:22" ht="18" customHeight="1">
      <c r="A15" s="3">
        <v>1</v>
      </c>
      <c r="B15" t="s">
        <v>69</v>
      </c>
      <c r="C15" s="10" t="s">
        <v>37</v>
      </c>
      <c r="D15" s="5" t="s">
        <v>70</v>
      </c>
      <c r="F15" s="6">
        <v>18749</v>
      </c>
      <c r="G15" s="6">
        <v>3</v>
      </c>
      <c r="H15" s="7" t="s">
        <v>53</v>
      </c>
      <c r="I15" s="8">
        <v>2</v>
      </c>
      <c r="J15" s="1" t="s">
        <v>33</v>
      </c>
      <c r="K15" s="1">
        <v>2</v>
      </c>
      <c r="L15" s="1" t="s">
        <v>25</v>
      </c>
      <c r="M15" s="1">
        <v>2</v>
      </c>
      <c r="N15" s="1" t="s">
        <v>35</v>
      </c>
      <c r="O15" s="1">
        <v>2</v>
      </c>
      <c r="P15" s="1" t="s">
        <v>71</v>
      </c>
      <c r="Q15" s="1">
        <v>1</v>
      </c>
      <c r="R15" s="1" t="s">
        <v>28</v>
      </c>
      <c r="S15" s="1">
        <v>3</v>
      </c>
      <c r="T15" s="1">
        <v>2</v>
      </c>
      <c r="U15">
        <f t="shared" si="0"/>
        <v>24</v>
      </c>
      <c r="V15" t="s">
        <v>50</v>
      </c>
    </row>
    <row r="16" spans="1:22" ht="18" customHeight="1">
      <c r="A16">
        <v>20</v>
      </c>
      <c r="B16" t="s">
        <v>72</v>
      </c>
      <c r="C16" s="10" t="s">
        <v>21</v>
      </c>
      <c r="D16" s="5" t="s">
        <v>73</v>
      </c>
      <c r="E16" s="14" t="s">
        <v>74</v>
      </c>
      <c r="F16" s="6">
        <v>19600</v>
      </c>
      <c r="G16" s="6">
        <v>3</v>
      </c>
      <c r="H16" s="7" t="s">
        <v>43</v>
      </c>
      <c r="I16" s="8">
        <v>1</v>
      </c>
      <c r="J16" s="1" t="s">
        <v>33</v>
      </c>
      <c r="K16" s="1">
        <v>2</v>
      </c>
      <c r="L16" s="1" t="s">
        <v>25</v>
      </c>
      <c r="M16" s="1">
        <v>2</v>
      </c>
      <c r="N16" s="1" t="s">
        <v>35</v>
      </c>
      <c r="O16" s="1">
        <v>2</v>
      </c>
      <c r="P16" s="1" t="s">
        <v>27</v>
      </c>
      <c r="Q16" s="1">
        <v>2</v>
      </c>
      <c r="R16" s="1" t="s">
        <v>28</v>
      </c>
      <c r="S16" s="1">
        <v>3</v>
      </c>
      <c r="T16" s="1">
        <v>2</v>
      </c>
      <c r="U16">
        <f t="shared" si="0"/>
        <v>24</v>
      </c>
    </row>
    <row r="17" spans="1:22" ht="18" customHeight="1">
      <c r="A17" s="3">
        <v>3</v>
      </c>
      <c r="B17" t="s">
        <v>75</v>
      </c>
      <c r="C17" s="10" t="s">
        <v>37</v>
      </c>
      <c r="D17" s="5" t="s">
        <v>76</v>
      </c>
      <c r="E17" s="13"/>
      <c r="F17" s="6">
        <v>18749</v>
      </c>
      <c r="G17" s="6">
        <v>4</v>
      </c>
      <c r="H17" s="7" t="s">
        <v>23</v>
      </c>
      <c r="I17" s="11">
        <v>3</v>
      </c>
      <c r="J17" s="1" t="s">
        <v>33</v>
      </c>
      <c r="K17" s="1">
        <v>2</v>
      </c>
      <c r="L17" s="1" t="s">
        <v>25</v>
      </c>
      <c r="M17" s="1">
        <v>2</v>
      </c>
      <c r="N17" s="1" t="s">
        <v>35</v>
      </c>
      <c r="O17" s="1">
        <v>2</v>
      </c>
      <c r="P17" s="1" t="s">
        <v>71</v>
      </c>
      <c r="Q17" s="1">
        <v>1</v>
      </c>
      <c r="R17" s="1" t="s">
        <v>28</v>
      </c>
      <c r="S17" s="1">
        <v>3</v>
      </c>
      <c r="T17" s="1">
        <v>1</v>
      </c>
      <c r="U17">
        <f t="shared" si="0"/>
        <v>25</v>
      </c>
      <c r="V17" t="s">
        <v>50</v>
      </c>
    </row>
    <row r="18" spans="1:22" ht="18" customHeight="1">
      <c r="A18" s="3">
        <v>13</v>
      </c>
      <c r="B18" t="s">
        <v>77</v>
      </c>
      <c r="C18" s="10" t="s">
        <v>37</v>
      </c>
      <c r="D18" s="13" t="s">
        <v>78</v>
      </c>
      <c r="E18" s="13" t="s">
        <v>79</v>
      </c>
      <c r="F18" s="6">
        <v>10800</v>
      </c>
      <c r="G18" s="6">
        <v>2</v>
      </c>
      <c r="H18" s="7" t="s">
        <v>23</v>
      </c>
      <c r="I18" s="8">
        <v>3</v>
      </c>
      <c r="J18" s="1" t="s">
        <v>33</v>
      </c>
      <c r="K18" s="1">
        <v>2</v>
      </c>
      <c r="L18" s="1" t="s">
        <v>34</v>
      </c>
      <c r="M18" s="1">
        <v>1</v>
      </c>
      <c r="N18" s="1" t="s">
        <v>35</v>
      </c>
      <c r="O18" s="1">
        <v>2</v>
      </c>
      <c r="P18" s="1" t="s">
        <v>27</v>
      </c>
      <c r="Q18" s="1">
        <v>2</v>
      </c>
      <c r="R18" s="1" t="s">
        <v>28</v>
      </c>
      <c r="S18" s="1">
        <v>3</v>
      </c>
      <c r="T18" s="1">
        <v>3</v>
      </c>
      <c r="U18">
        <f t="shared" si="0"/>
        <v>25</v>
      </c>
      <c r="V18" t="s">
        <v>80</v>
      </c>
    </row>
    <row r="19" spans="1:22" ht="18" customHeight="1">
      <c r="A19">
        <v>14</v>
      </c>
      <c r="B19" t="s">
        <v>81</v>
      </c>
      <c r="C19" s="10" t="s">
        <v>37</v>
      </c>
      <c r="D19" s="5" t="s">
        <v>82</v>
      </c>
      <c r="F19" s="6">
        <v>18749</v>
      </c>
      <c r="G19" s="6">
        <v>3</v>
      </c>
      <c r="H19" s="7" t="s">
        <v>23</v>
      </c>
      <c r="I19" s="8">
        <v>3</v>
      </c>
      <c r="J19" s="1" t="s">
        <v>33</v>
      </c>
      <c r="K19" s="1">
        <v>2</v>
      </c>
      <c r="L19" s="1" t="s">
        <v>25</v>
      </c>
      <c r="M19" s="1">
        <v>2</v>
      </c>
      <c r="N19" s="1" t="s">
        <v>35</v>
      </c>
      <c r="O19" s="1">
        <v>2</v>
      </c>
      <c r="P19" s="1" t="s">
        <v>71</v>
      </c>
      <c r="Q19" s="1">
        <v>1</v>
      </c>
      <c r="R19" s="1" t="s">
        <v>28</v>
      </c>
      <c r="S19" s="1">
        <v>3</v>
      </c>
      <c r="T19" s="1">
        <v>2</v>
      </c>
      <c r="U19">
        <f t="shared" si="0"/>
        <v>25</v>
      </c>
      <c r="V19" t="s">
        <v>50</v>
      </c>
    </row>
    <row r="20" spans="1:22" ht="18" customHeight="1">
      <c r="A20" s="3">
        <v>16</v>
      </c>
      <c r="B20" t="s">
        <v>83</v>
      </c>
      <c r="C20" s="10" t="s">
        <v>84</v>
      </c>
      <c r="D20" s="5" t="s">
        <v>85</v>
      </c>
      <c r="E20" s="5" t="s">
        <v>86</v>
      </c>
      <c r="F20" s="6">
        <v>18749</v>
      </c>
      <c r="G20" s="6">
        <v>3</v>
      </c>
      <c r="H20" s="7" t="s">
        <v>23</v>
      </c>
      <c r="I20" s="8">
        <v>3</v>
      </c>
      <c r="J20" s="1" t="s">
        <v>33</v>
      </c>
      <c r="K20" s="1">
        <v>2</v>
      </c>
      <c r="L20" s="1" t="s">
        <v>25</v>
      </c>
      <c r="M20" s="1">
        <v>2</v>
      </c>
      <c r="N20" s="1" t="s">
        <v>35</v>
      </c>
      <c r="O20" s="1">
        <v>2</v>
      </c>
      <c r="P20" s="1" t="s">
        <v>27</v>
      </c>
      <c r="Q20" s="1">
        <v>2</v>
      </c>
      <c r="R20" s="1" t="s">
        <v>44</v>
      </c>
      <c r="S20" s="1">
        <v>2</v>
      </c>
      <c r="T20" s="1">
        <v>2</v>
      </c>
      <c r="U20">
        <f t="shared" si="0"/>
        <v>25</v>
      </c>
    </row>
    <row r="21" spans="1:22" s="17" customFormat="1" ht="18" customHeight="1">
      <c r="A21" s="16">
        <v>19</v>
      </c>
      <c r="B21" s="17" t="s">
        <v>87</v>
      </c>
      <c r="C21" s="18" t="s">
        <v>61</v>
      </c>
      <c r="D21" s="19" t="s">
        <v>88</v>
      </c>
      <c r="E21" s="19" t="s">
        <v>89</v>
      </c>
      <c r="F21" s="20">
        <v>10800</v>
      </c>
      <c r="G21" s="20">
        <v>2</v>
      </c>
      <c r="H21" s="21" t="s">
        <v>23</v>
      </c>
      <c r="I21" s="22">
        <v>3</v>
      </c>
      <c r="J21" s="23" t="s">
        <v>33</v>
      </c>
      <c r="K21" s="23">
        <v>2</v>
      </c>
      <c r="L21" s="23" t="s">
        <v>25</v>
      </c>
      <c r="M21" s="23">
        <v>2</v>
      </c>
      <c r="N21" s="23" t="s">
        <v>35</v>
      </c>
      <c r="O21" s="23">
        <v>2</v>
      </c>
      <c r="P21" s="23" t="s">
        <v>27</v>
      </c>
      <c r="Q21" s="23">
        <v>2</v>
      </c>
      <c r="R21" s="23" t="s">
        <v>28</v>
      </c>
      <c r="S21" s="23">
        <v>3</v>
      </c>
      <c r="T21" s="23">
        <v>3</v>
      </c>
      <c r="U21" s="17">
        <f t="shared" si="0"/>
        <v>26</v>
      </c>
    </row>
    <row r="22" spans="1:22" ht="18" customHeight="1">
      <c r="A22">
        <v>15</v>
      </c>
      <c r="B22" t="s">
        <v>90</v>
      </c>
      <c r="C22" s="10" t="s">
        <v>91</v>
      </c>
      <c r="D22" s="13" t="s">
        <v>92</v>
      </c>
      <c r="E22" s="13" t="s">
        <v>93</v>
      </c>
      <c r="F22" s="6">
        <v>18749</v>
      </c>
      <c r="G22" s="6">
        <v>3</v>
      </c>
      <c r="H22" s="7" t="s">
        <v>23</v>
      </c>
      <c r="I22" s="8">
        <v>3</v>
      </c>
      <c r="J22" s="1" t="s">
        <v>33</v>
      </c>
      <c r="K22" s="1">
        <v>2</v>
      </c>
      <c r="L22" s="1" t="s">
        <v>25</v>
      </c>
      <c r="M22" s="1">
        <v>2</v>
      </c>
      <c r="N22" s="1" t="s">
        <v>35</v>
      </c>
      <c r="O22" s="1">
        <v>2</v>
      </c>
      <c r="P22" s="1" t="s">
        <v>27</v>
      </c>
      <c r="Q22" s="1">
        <v>2</v>
      </c>
      <c r="R22" s="1" t="s">
        <v>44</v>
      </c>
      <c r="S22" s="1">
        <v>2</v>
      </c>
      <c r="T22" s="1">
        <v>3</v>
      </c>
      <c r="U22">
        <f t="shared" si="0"/>
        <v>27</v>
      </c>
    </row>
    <row r="23" spans="1:22" s="17" customFormat="1" ht="18" customHeight="1">
      <c r="A23" s="16">
        <v>8</v>
      </c>
      <c r="B23" s="17" t="s">
        <v>94</v>
      </c>
      <c r="C23" s="18" t="s">
        <v>84</v>
      </c>
      <c r="D23" s="19" t="s">
        <v>95</v>
      </c>
      <c r="E23" s="19"/>
      <c r="F23" s="20">
        <v>18749</v>
      </c>
      <c r="G23" s="20">
        <v>3</v>
      </c>
      <c r="H23" s="21" t="s">
        <v>23</v>
      </c>
      <c r="I23" s="24">
        <v>3</v>
      </c>
      <c r="J23" s="23" t="s">
        <v>33</v>
      </c>
      <c r="K23" s="23">
        <v>2</v>
      </c>
      <c r="L23" s="23" t="s">
        <v>25</v>
      </c>
      <c r="M23" s="23">
        <v>2</v>
      </c>
      <c r="N23" s="23" t="s">
        <v>35</v>
      </c>
      <c r="O23" s="23">
        <v>2</v>
      </c>
      <c r="P23" s="23" t="s">
        <v>27</v>
      </c>
      <c r="Q23" s="23">
        <v>2</v>
      </c>
      <c r="R23" s="23" t="s">
        <v>28</v>
      </c>
      <c r="S23" s="23">
        <v>3</v>
      </c>
      <c r="T23" s="23">
        <v>3</v>
      </c>
      <c r="U23" s="17">
        <f t="shared" si="0"/>
        <v>28</v>
      </c>
    </row>
  </sheetData>
  <hyperlinks>
    <hyperlink ref="D15" r:id="rId1" xr:uid="{1627545B-63B4-1343-8888-4AD9BE2F4F13}"/>
    <hyperlink ref="D12" r:id="rId2" xr:uid="{7AE65832-7F5E-EA45-AA62-BDECA44A20B0}"/>
    <hyperlink ref="D17" r:id="rId3" xr:uid="{BF250F2B-B6D7-3D42-8D87-AE0E0CA5F7DD}"/>
    <hyperlink ref="D7" r:id="rId4" xr:uid="{6DFA280F-5C18-C549-9F63-5BE98F428F8B}"/>
    <hyperlink ref="D3" r:id="rId5" xr:uid="{DE8D7FAC-3008-EC48-9DE7-382256253129}"/>
    <hyperlink ref="D13" r:id="rId6" xr:uid="{C3666C24-9798-3E46-A852-86B8E20FE5D7}"/>
    <hyperlink ref="D23" r:id="rId7" xr:uid="{E6EBB9D1-26A7-EE43-B2F0-B354CA365BB0}"/>
    <hyperlink ref="D9" r:id="rId8" xr:uid="{990B20A4-4F3C-E445-91BC-F7A1F5E4AD16}"/>
    <hyperlink ref="D4" r:id="rId9" xr:uid="{0C2D0167-936B-A443-A9ED-B8F0C968BF5F}"/>
    <hyperlink ref="D10" r:id="rId10" xr:uid="{7A1454CD-2DD9-F54F-8E7F-EB2A9FA4B3D3}"/>
    <hyperlink ref="D5" r:id="rId11" xr:uid="{45D1114D-18C6-2C48-80E3-1CB12DDABFB3}"/>
    <hyperlink ref="D18" r:id="rId12" xr:uid="{B0E583F8-91F5-6040-9F2E-107BBAE7A95F}"/>
    <hyperlink ref="D19" r:id="rId13" xr:uid="{89AF5F04-E1F7-8A4C-8D97-8E19B5E292DC}"/>
    <hyperlink ref="D22" r:id="rId14" xr:uid="{B2C09F4F-038C-B747-8F94-2E3636E1B6B2}"/>
    <hyperlink ref="D20" r:id="rId15" xr:uid="{3E46A9A5-F3DB-E94B-83D9-6CB2B54A8C1B}"/>
    <hyperlink ref="D14" r:id="rId16" xr:uid="{08E9318B-36C0-1D44-8E4B-A77CB305BD45}"/>
    <hyperlink ref="D21" r:id="rId17" xr:uid="{5591D356-6F88-454D-A730-B5CD1B317D08}"/>
    <hyperlink ref="D16" r:id="rId18" xr:uid="{45747F71-0618-4C46-BFE3-CA2A1A0BDB71}"/>
    <hyperlink ref="D11" r:id="rId19" xr:uid="{D070170F-500D-8F49-BB67-DFBC2B7760C7}"/>
    <hyperlink ref="D8" r:id="rId20" xr:uid="{C295162E-FAFE-2049-9B88-045098FB7ED4}"/>
    <hyperlink ref="D6" r:id="rId21" xr:uid="{89B898DD-813F-0F4D-807A-32150C3E1D0B}"/>
    <hyperlink ref="E6" r:id="rId22" xr:uid="{FB540D10-639C-B243-81C1-2CCD8E07A1AA}"/>
    <hyperlink ref="E10" r:id="rId23" xr:uid="{A3DF27EC-9BFF-FA41-9CBE-B2D5B60BCD83}"/>
    <hyperlink ref="E11" r:id="rId24" xr:uid="{66A13517-9C9E-6741-8AF0-F1206E52244E}"/>
    <hyperlink ref="E12" r:id="rId25" xr:uid="{0BF77B62-0A9F-6C4F-B0CC-F4A4CD4AD191}"/>
    <hyperlink ref="E16" r:id="rId26" xr:uid="{82E81E78-6143-824A-9129-A8F247737E4D}"/>
    <hyperlink ref="E18" r:id="rId27" xr:uid="{689F579A-99E8-7B4E-817F-61A92139BE92}"/>
    <hyperlink ref="E20" r:id="rId28" xr:uid="{3E8826E4-C293-4547-AA89-2D8581F26CB5}"/>
    <hyperlink ref="E21" r:id="rId29" xr:uid="{6064E216-7BE0-0C4D-9577-1B30DECE3005}"/>
    <hyperlink ref="E22" r:id="rId30" xr:uid="{F2541384-FDC6-9E4F-81EB-F2D22DDAE9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Disney</dc:creator>
  <cp:lastModifiedBy>Patrick Disney</cp:lastModifiedBy>
  <dcterms:created xsi:type="dcterms:W3CDTF">2026-04-29T16:50:32Z</dcterms:created>
  <dcterms:modified xsi:type="dcterms:W3CDTF">2026-04-29T17:26:43Z</dcterms:modified>
</cp:coreProperties>
</file>